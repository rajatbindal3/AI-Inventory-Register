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bha Bindal\Desktop\New folder\Interview Pack\To Be Copied\"/>
    </mc:Choice>
  </mc:AlternateContent>
  <xr:revisionPtr revIDLastSave="0" documentId="13_ncr:1_{DE19BFE8-CC25-46F5-9D96-3AE0CD8445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Inventory" sheetId="2" r:id="rId1"/>
    <sheet name="Risk Register" sheetId="3" r:id="rId2"/>
    <sheet name="AI Intake" sheetId="7" r:id="rId3"/>
    <sheet name="Risk-Control Mapping" sheetId="4" r:id="rId4"/>
    <sheet name="Evidence Register" sheetId="8" r:id="rId5"/>
  </sheets>
  <definedNames>
    <definedName name="_xlnm._FilterDatabase" localSheetId="2" hidden="1">'AI Intake'!$A$1:$V$2</definedName>
    <definedName name="_xlnm._FilterDatabase" localSheetId="0" hidden="1">'AI Inventory'!$A$1:$N$5</definedName>
    <definedName name="_xlnm._FilterDatabase" localSheetId="4" hidden="1">'Evidence Register'!$A$1:$G$8</definedName>
    <definedName name="_xlnm._FilterDatabase" localSheetId="1" hidden="1">'Risk Register'!$A$1:$S$7</definedName>
    <definedName name="_xlnm._FilterDatabase" localSheetId="3" hidden="1">'Risk-Control Mapping'!$A$1:$J$8</definedName>
  </definedNames>
  <calcPr calcId="191029"/>
</workbook>
</file>

<file path=xl/calcChain.xml><?xml version="1.0" encoding="utf-8"?>
<calcChain xmlns="http://schemas.openxmlformats.org/spreadsheetml/2006/main">
  <c r="Q7" i="3" l="1"/>
  <c r="R7" i="3" s="1"/>
  <c r="I7" i="3"/>
  <c r="J7" i="3" s="1"/>
  <c r="Q6" i="3"/>
  <c r="R6" i="3" s="1"/>
  <c r="I6" i="3"/>
  <c r="J6" i="3" s="1"/>
  <c r="Q5" i="3"/>
  <c r="R5" i="3" s="1"/>
  <c r="I5" i="3"/>
  <c r="J5" i="3" s="1"/>
  <c r="Q4" i="3"/>
  <c r="R4" i="3" s="1"/>
  <c r="I4" i="3"/>
  <c r="J4" i="3" s="1"/>
  <c r="Q3" i="3"/>
  <c r="R3" i="3" s="1"/>
  <c r="I3" i="3"/>
  <c r="J3" i="3" s="1"/>
  <c r="Q2" i="3"/>
  <c r="R2" i="3" s="1"/>
  <c r="I2" i="3"/>
  <c r="J2" i="3" s="1"/>
</calcChain>
</file>

<file path=xl/sharedStrings.xml><?xml version="1.0" encoding="utf-8"?>
<sst xmlns="http://schemas.openxmlformats.org/spreadsheetml/2006/main" count="335" uniqueCount="212">
  <si>
    <t>AI ID</t>
  </si>
  <si>
    <t>AI System / Use Case</t>
  </si>
  <si>
    <t>Business Function</t>
  </si>
  <si>
    <t>AI System Owner</t>
  </si>
  <si>
    <t>Technical Owner</t>
  </si>
  <si>
    <t>Purpose / Intended Use</t>
  </si>
  <si>
    <t>Users / Affected Persons</t>
  </si>
  <si>
    <t>Geography</t>
  </si>
  <si>
    <t>Lifecycle Status</t>
  </si>
  <si>
    <t>AI Type</t>
  </si>
  <si>
    <t>Model Provider / Vendor</t>
  </si>
  <si>
    <t>Data Types</t>
  </si>
  <si>
    <t>Personal / Sensitive Data</t>
  </si>
  <si>
    <t>Risk Tier</t>
  </si>
  <si>
    <t>AI-001</t>
  </si>
  <si>
    <t>AI Recruitment Screening System</t>
  </si>
  <si>
    <t>Human Resources</t>
  </si>
  <si>
    <t>Head of Talent Acquisition</t>
  </si>
  <si>
    <t>ML Engineering Lead</t>
  </si>
  <si>
    <t>Screen and prioritize candidate applications for recruiter review</t>
  </si>
  <si>
    <t>Recruiters, hiring managers, job applicants</t>
  </si>
  <si>
    <t>EU</t>
  </si>
  <si>
    <t>Planned</t>
  </si>
  <si>
    <t>Machine Learning / Predictive AI</t>
  </si>
  <si>
    <t>Candidate ranking model</t>
  </si>
  <si>
    <t>Sample / Demo Vendor</t>
  </si>
  <si>
    <t>CVs, education, employment history, skills</t>
  </si>
  <si>
    <t>Yes – candidate personal data</t>
  </si>
  <si>
    <t>High</t>
  </si>
  <si>
    <t>2026-09-05</t>
  </si>
  <si>
    <t>AI-002</t>
  </si>
  <si>
    <t>Customer Support GenAI Chatbot</t>
  </si>
  <si>
    <t>Customer Service</t>
  </si>
  <si>
    <t>Head of Customer Service</t>
  </si>
  <si>
    <t>AI Engineering Lead</t>
  </si>
  <si>
    <t>Provide first-line responses to customer queries and escalate complex cases</t>
  </si>
  <si>
    <t>Customers, support agents</t>
  </si>
  <si>
    <t>EU / Global</t>
  </si>
  <si>
    <t>Generative AI / LLM</t>
  </si>
  <si>
    <t>Customer queries, knowledge-base content</t>
  </si>
  <si>
    <t>Potentially yes</t>
  </si>
  <si>
    <t>Limited</t>
  </si>
  <si>
    <t>AI-003</t>
  </si>
  <si>
    <t>Knowledge Management</t>
  </si>
  <si>
    <t>Production</t>
  </si>
  <si>
    <t>AI-004</t>
  </si>
  <si>
    <t>AI Credit Risk Assessment</t>
  </si>
  <si>
    <t>Financial Services</t>
  </si>
  <si>
    <t>Head of Credit Risk</t>
  </si>
  <si>
    <t>Model Risk Lead</t>
  </si>
  <si>
    <t>Support assessment of customer creditworthiness</t>
  </si>
  <si>
    <t>Customers, credit analysts</t>
  </si>
  <si>
    <t>Machine Learning / Scoring</t>
  </si>
  <si>
    <t>Financial, employment and transaction information</t>
  </si>
  <si>
    <t>Yes</t>
  </si>
  <si>
    <t>AI Fraud Detection</t>
  </si>
  <si>
    <t>Financial Crime / Risk</t>
  </si>
  <si>
    <t>Head of Financial Crime</t>
  </si>
  <si>
    <t>Detect potentially fraudulent transactions for human investigation</t>
  </si>
  <si>
    <t>Customers, investigators</t>
  </si>
  <si>
    <t>Machine Learning / Anomaly Detection</t>
  </si>
  <si>
    <t>Transaction and behavioural data</t>
  </si>
  <si>
    <t>Context-dependent</t>
  </si>
  <si>
    <t>Risk ID</t>
  </si>
  <si>
    <t>AI System</t>
  </si>
  <si>
    <t>Risk Statement</t>
  </si>
  <si>
    <t>Risk Category</t>
  </si>
  <si>
    <t>Risk Owner</t>
  </si>
  <si>
    <t>Likelihood (1-5)</t>
  </si>
  <si>
    <t>Impact (1-5)</t>
  </si>
  <si>
    <t>Inherent Score</t>
  </si>
  <si>
    <t>Inherent Rating</t>
  </si>
  <si>
    <t>Risk Treatment</t>
  </si>
  <si>
    <t>Control / Mitigation</t>
  </si>
  <si>
    <t>Control Owner</t>
  </si>
  <si>
    <t>Control Effectiveness</t>
  </si>
  <si>
    <t>Residual Likelihood (1-5)</t>
  </si>
  <si>
    <t>Residual Impact (1-5)</t>
  </si>
  <si>
    <t>Residual Score</t>
  </si>
  <si>
    <t>Residual Rating</t>
  </si>
  <si>
    <t>Risk Acceptance</t>
  </si>
  <si>
    <t>R-001</t>
  </si>
  <si>
    <t>Algorithmic bias may systematically disadvantage qualified candidates.</t>
  </si>
  <si>
    <t>Fairness / Discrimination</t>
  </si>
  <si>
    <t>Mitigate</t>
  </si>
  <si>
    <t>Pre-deployment and periodic fairness testing across relevant candidate groups.</t>
  </si>
  <si>
    <t>AI Governance / Model Risk</t>
  </si>
  <si>
    <t>Not Accepted</t>
  </si>
  <si>
    <t>EV-001</t>
  </si>
  <si>
    <t>R-002</t>
  </si>
  <si>
    <t>AI-generated candidate ranking may inaccurately assess suitability.</t>
  </si>
  <si>
    <t>Accuracy / Decision Quality</t>
  </si>
  <si>
    <t>Mandatory human review before recruitment decisions; accuracy monitoring and sampling.</t>
  </si>
  <si>
    <t>Recruitment Lead</t>
  </si>
  <si>
    <t>EV-002</t>
  </si>
  <si>
    <t>R-003</t>
  </si>
  <si>
    <t>Candidate personal data may be used beyond the intended purpose.</t>
  </si>
  <si>
    <t>Privacy / Data Governance</t>
  </si>
  <si>
    <t>Privacy Officer</t>
  </si>
  <si>
    <t>Data minimization, access control, retention limits and privacy assessment.</t>
  </si>
  <si>
    <t>EV-003</t>
  </si>
  <si>
    <t>R-004</t>
  </si>
  <si>
    <t>Recruiters or candidates may not understand the role of AI in the process.</t>
  </si>
  <si>
    <t>Transparency</t>
  </si>
  <si>
    <t>Document AI role, provide appropriate transparency information and maintain human oversight.</t>
  </si>
  <si>
    <t>HR Governance</t>
  </si>
  <si>
    <t>EV-004</t>
  </si>
  <si>
    <t>R-005</t>
  </si>
  <si>
    <t>The chatbot may generate inaccurate or fabricated responses.</t>
  </si>
  <si>
    <t>Accuracy / Hallucination</t>
  </si>
  <si>
    <t>Approved knowledge sources, response validation, monitoring and human escalation.</t>
  </si>
  <si>
    <t>EV-005</t>
  </si>
  <si>
    <t>R-006</t>
  </si>
  <si>
    <t>Sensitive customer information may be exposed through prompts or outputs.</t>
  </si>
  <si>
    <t>Privacy / Security</t>
  </si>
  <si>
    <t>Security / Privacy Lead</t>
  </si>
  <si>
    <t>PII filtering, access control, logging, secure prompt handling and data-loss prevention.</t>
  </si>
  <si>
    <t>Security Lead</t>
  </si>
  <si>
    <t>EV-006</t>
  </si>
  <si>
    <t>R-007</t>
  </si>
  <si>
    <t>EV-007</t>
  </si>
  <si>
    <t>Mapping ID</t>
  </si>
  <si>
    <t>Risk</t>
  </si>
  <si>
    <t>Control ID</t>
  </si>
  <si>
    <t>Control</t>
  </si>
  <si>
    <t>Control Type</t>
  </si>
  <si>
    <t>Frequency</t>
  </si>
  <si>
    <t>Evidence</t>
  </si>
  <si>
    <t>RC-001</t>
  </si>
  <si>
    <t>Algorithmic bias</t>
  </si>
  <si>
    <t>C-001</t>
  </si>
  <si>
    <t>Fairness / bias testing</t>
  </si>
  <si>
    <t>Preventive + Detective</t>
  </si>
  <si>
    <t>Pre-deployment + Periodic</t>
  </si>
  <si>
    <t>RC-002</t>
  </si>
  <si>
    <t>Incorrect candidate ranking</t>
  </si>
  <si>
    <t>C-002</t>
  </si>
  <si>
    <t>Mandatory human review</t>
  </si>
  <si>
    <t>Preventive</t>
  </si>
  <si>
    <t>Every decision</t>
  </si>
  <si>
    <t>RC-003</t>
  </si>
  <si>
    <t>Personal data misuse</t>
  </si>
  <si>
    <t>C-003</t>
  </si>
  <si>
    <t>Data minimization + access control</t>
  </si>
  <si>
    <t>Continuous</t>
  </si>
  <si>
    <t>RC-004</t>
  </si>
  <si>
    <t>Lack of transparency</t>
  </si>
  <si>
    <t>C-004</t>
  </si>
  <si>
    <t>AI transparency and documentation</t>
  </si>
  <si>
    <t>Periodic</t>
  </si>
  <si>
    <t>RC-005</t>
  </si>
  <si>
    <t>Hallucination / inaccurate response</t>
  </si>
  <si>
    <t>C-005</t>
  </si>
  <si>
    <t>Approved knowledge base + output monitoring</t>
  </si>
  <si>
    <t>Detective</t>
  </si>
  <si>
    <t>RC-006</t>
  </si>
  <si>
    <t>Privacy / security leakage</t>
  </si>
  <si>
    <t>C-006</t>
  </si>
  <si>
    <t>PII filtering + security controls</t>
  </si>
  <si>
    <t>RC-007</t>
  </si>
  <si>
    <t>Incorrect summaries</t>
  </si>
  <si>
    <t>C-007</t>
  </si>
  <si>
    <t>Human verification for critical outputs</t>
  </si>
  <si>
    <t>As required</t>
  </si>
  <si>
    <t>Reviewer</t>
  </si>
  <si>
    <t>AI Governance</t>
  </si>
  <si>
    <t>Intake ID</t>
  </si>
  <si>
    <t>Request Date</t>
  </si>
  <si>
    <t>Requester</t>
  </si>
  <si>
    <t>AI System Name</t>
  </si>
  <si>
    <t>Business Problem</t>
  </si>
  <si>
    <t>Intended Purpose</t>
  </si>
  <si>
    <t>Expected Benefits</t>
  </si>
  <si>
    <t>Vendor / Provider</t>
  </si>
  <si>
    <t>Model</t>
  </si>
  <si>
    <t>Decision Impact</t>
  </si>
  <si>
    <t>Human Oversight</t>
  </si>
  <si>
    <t>Regulatory Considerations</t>
  </si>
  <si>
    <t>Initial Risk Tier</t>
  </si>
  <si>
    <t>Governance Decision</t>
  </si>
  <si>
    <t>Decision Date</t>
  </si>
  <si>
    <t>Comments</t>
  </si>
  <si>
    <t>INT-001</t>
  </si>
  <si>
    <t>HR</t>
  </si>
  <si>
    <t>Reduce manual CV screening effort</t>
  </si>
  <si>
    <t>Faster screening and consistent triage</t>
  </si>
  <si>
    <t>Employment-related recommendation</t>
  </si>
  <si>
    <t>Human review required</t>
  </si>
  <si>
    <t>EU AI Act; employment/high-risk assessment</t>
  </si>
  <si>
    <t>Proceed to detailed governance assessment</t>
  </si>
  <si>
    <t>Portfolio/demo record only.</t>
  </si>
  <si>
    <t>Evidence ID</t>
  </si>
  <si>
    <t>Evidence Type</t>
  </si>
  <si>
    <t>Description</t>
  </si>
  <si>
    <t>Owner</t>
  </si>
  <si>
    <t>Location / Link</t>
  </si>
  <si>
    <t>Fairness Test Report</t>
  </si>
  <si>
    <t>Sample fairness/bias assessment results and remediation actions</t>
  </si>
  <si>
    <t>Demo / to be attached</t>
  </si>
  <si>
    <t>Human Oversight Procedure</t>
  </si>
  <si>
    <t>Procedure showing when recruiters must review AI recommendations</t>
  </si>
  <si>
    <t>Privacy Assessment</t>
  </si>
  <si>
    <t>Sample privacy/data-use assessment</t>
  </si>
  <si>
    <t>Transparency / Documentation</t>
  </si>
  <si>
    <t>AI system documentation and transparency material</t>
  </si>
  <si>
    <t>LLM Evaluation</t>
  </si>
  <si>
    <t>Hallucination and response-quality evaluation</t>
  </si>
  <si>
    <t>AI Engineering</t>
  </si>
  <si>
    <t>Security Assessment</t>
  </si>
  <si>
    <t>Sample security/privacy assessment</t>
  </si>
  <si>
    <t>Output Quality Sampling</t>
  </si>
  <si>
    <t>Sample review of document summaries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</si>
</sst>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showGridLines="0" tabSelected="1" topLeftCell="G1" workbookViewId="0">
      <selection activeCell="J10" sqref="J10"/>
    </sheetView>
  </sheetViews>
  <sheetFormatPr defaultRowHeight="14.4" x14ac:dyDescent="0.3"/>
  <cols>
    <col min="1" max="1" width="10" customWidth="1"/>
    <col min="2" max="2" width="30" customWidth="1"/>
    <col min="3" max="3" width="22" customWidth="1"/>
    <col min="4" max="5" width="24" customWidth="1"/>
    <col min="6" max="6" width="42" customWidth="1"/>
    <col min="7" max="7" width="28" customWidth="1"/>
    <col min="8" max="9" width="16" customWidth="1"/>
    <col min="10" max="10" width="24" customWidth="1"/>
    <col min="11" max="11" width="25" customWidth="1"/>
    <col min="12" max="12" width="32" customWidth="1"/>
    <col min="13" max="13" width="22" customWidth="1"/>
    <col min="14" max="14" width="16" customWidth="1"/>
  </cols>
  <sheetData>
    <row r="1" spans="1:14" ht="29.4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</row>
    <row r="2" spans="1:14" ht="28.8" x14ac:dyDescent="0.3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44</v>
      </c>
      <c r="J2" s="10" t="s">
        <v>23</v>
      </c>
      <c r="K2" s="10" t="s">
        <v>25</v>
      </c>
      <c r="L2" s="10" t="s">
        <v>26</v>
      </c>
      <c r="M2" s="10" t="s">
        <v>27</v>
      </c>
      <c r="N2" s="11" t="s">
        <v>28</v>
      </c>
    </row>
    <row r="3" spans="1:14" ht="28.8" x14ac:dyDescent="0.3">
      <c r="A3" s="4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44</v>
      </c>
      <c r="J3" s="1" t="s">
        <v>38</v>
      </c>
      <c r="K3" s="1" t="s">
        <v>25</v>
      </c>
      <c r="L3" s="1" t="s">
        <v>39</v>
      </c>
      <c r="M3" s="1" t="s">
        <v>40</v>
      </c>
      <c r="N3" s="5" t="s">
        <v>41</v>
      </c>
    </row>
    <row r="4" spans="1:14" ht="28.8" x14ac:dyDescent="0.3">
      <c r="A4" s="4" t="s">
        <v>42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21</v>
      </c>
      <c r="I4" s="1" t="s">
        <v>44</v>
      </c>
      <c r="J4" s="1" t="s">
        <v>52</v>
      </c>
      <c r="K4" s="1" t="s">
        <v>25</v>
      </c>
      <c r="L4" s="1" t="s">
        <v>53</v>
      </c>
      <c r="M4" s="1" t="s">
        <v>54</v>
      </c>
      <c r="N4" s="5" t="s">
        <v>28</v>
      </c>
    </row>
    <row r="5" spans="1:14" ht="29.4" thickBot="1" x14ac:dyDescent="0.35">
      <c r="A5" s="6" t="s">
        <v>45</v>
      </c>
      <c r="B5" s="7" t="s">
        <v>55</v>
      </c>
      <c r="C5" s="7" t="s">
        <v>56</v>
      </c>
      <c r="D5" s="7" t="s">
        <v>57</v>
      </c>
      <c r="E5" s="7" t="s">
        <v>49</v>
      </c>
      <c r="F5" s="7" t="s">
        <v>58</v>
      </c>
      <c r="G5" s="7" t="s">
        <v>59</v>
      </c>
      <c r="H5" s="7" t="s">
        <v>37</v>
      </c>
      <c r="I5" s="7" t="s">
        <v>44</v>
      </c>
      <c r="J5" s="7" t="s">
        <v>60</v>
      </c>
      <c r="K5" s="7" t="s">
        <v>25</v>
      </c>
      <c r="L5" s="7" t="s">
        <v>61</v>
      </c>
      <c r="M5" s="7" t="s">
        <v>54</v>
      </c>
      <c r="N5" s="8" t="s">
        <v>62</v>
      </c>
    </row>
  </sheetData>
  <dataValidations count="2">
    <dataValidation type="list" allowBlank="1" sqref="N2:N99" xr:uid="{00000000-0002-0000-0100-000000000000}">
      <formula1>"Prohibited,High,Limited,Minimal,Context-dependent"</formula1>
    </dataValidation>
    <dataValidation type="list" allowBlank="1" sqref="I2:I99" xr:uid="{00000000-0002-0000-0100-000001000000}">
      <formula1>"Planned,Pilot,Production,Retired"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showGridLines="0" workbookViewId="0">
      <selection activeCell="C14" sqref="C14"/>
    </sheetView>
  </sheetViews>
  <sheetFormatPr defaultRowHeight="14.4" x14ac:dyDescent="0.3"/>
  <cols>
    <col min="1" max="2" width="10" customWidth="1"/>
    <col min="3" max="3" width="30" customWidth="1"/>
    <col min="4" max="4" width="48" customWidth="1"/>
    <col min="5" max="6" width="24" customWidth="1"/>
    <col min="7" max="7" width="16" customWidth="1"/>
    <col min="8" max="9" width="14" customWidth="1"/>
    <col min="10" max="11" width="16" customWidth="1"/>
    <col min="12" max="12" width="48" customWidth="1"/>
    <col min="13" max="13" width="24" customWidth="1"/>
    <col min="14" max="14" width="20" customWidth="1"/>
    <col min="15" max="15" width="22" customWidth="1"/>
    <col min="16" max="16" width="20" customWidth="1"/>
    <col min="17" max="18" width="16" customWidth="1"/>
    <col min="19" max="19" width="24" customWidth="1"/>
  </cols>
  <sheetData>
    <row r="1" spans="1:19" ht="15" thickBot="1" x14ac:dyDescent="0.35">
      <c r="A1" s="2" t="s">
        <v>63</v>
      </c>
      <c r="B1" s="3" t="s">
        <v>0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15" t="s">
        <v>71</v>
      </c>
      <c r="K1" s="12" t="s">
        <v>72</v>
      </c>
      <c r="L1" s="13" t="s">
        <v>73</v>
      </c>
      <c r="M1" s="13" t="s">
        <v>74</v>
      </c>
      <c r="N1" s="13" t="s">
        <v>75</v>
      </c>
      <c r="O1" s="13" t="s">
        <v>76</v>
      </c>
      <c r="P1" s="13" t="s">
        <v>77</v>
      </c>
      <c r="Q1" s="13" t="s">
        <v>78</v>
      </c>
      <c r="R1" s="13" t="s">
        <v>79</v>
      </c>
      <c r="S1" s="14" t="s">
        <v>80</v>
      </c>
    </row>
    <row r="2" spans="1:19" ht="28.8" x14ac:dyDescent="0.3">
      <c r="A2" s="4" t="s">
        <v>81</v>
      </c>
      <c r="B2" s="1" t="s">
        <v>14</v>
      </c>
      <c r="C2" s="1" t="s">
        <v>15</v>
      </c>
      <c r="D2" s="1" t="s">
        <v>82</v>
      </c>
      <c r="E2" s="1" t="s">
        <v>83</v>
      </c>
      <c r="F2" s="1" t="s">
        <v>3</v>
      </c>
      <c r="G2" s="1">
        <v>4</v>
      </c>
      <c r="H2" s="1">
        <v>5</v>
      </c>
      <c r="I2" s="1">
        <f t="shared" ref="I2:I7" si="0">G2*H2</f>
        <v>20</v>
      </c>
      <c r="J2" s="1" t="str">
        <f t="shared" ref="J2:J7" si="1">IF(I2&gt;=20,"Critical",IF(I2&gt;=12,"High",IF(I2&gt;=6,"Medium","Low")))</f>
        <v>Critical</v>
      </c>
      <c r="K2" s="10" t="s">
        <v>84</v>
      </c>
      <c r="L2" s="10" t="s">
        <v>85</v>
      </c>
      <c r="M2" s="10" t="s">
        <v>86</v>
      </c>
      <c r="N2" s="10" t="s">
        <v>22</v>
      </c>
      <c r="O2" s="10">
        <v>2</v>
      </c>
      <c r="P2" s="10">
        <v>4</v>
      </c>
      <c r="Q2" s="10">
        <f t="shared" ref="Q2:Q7" si="2">O2*P2</f>
        <v>8</v>
      </c>
      <c r="R2" s="10" t="str">
        <f t="shared" ref="R2:R7" si="3">IF(Q2&gt;=20,"Critical",IF(Q2&gt;=12,"High",IF(Q2&gt;=6,"Medium","Low")))</f>
        <v>Medium</v>
      </c>
      <c r="S2" s="11" t="s">
        <v>87</v>
      </c>
    </row>
    <row r="3" spans="1:19" ht="28.8" x14ac:dyDescent="0.3">
      <c r="A3" s="4" t="s">
        <v>89</v>
      </c>
      <c r="B3" s="1" t="s">
        <v>14</v>
      </c>
      <c r="C3" s="1" t="s">
        <v>15</v>
      </c>
      <c r="D3" s="1" t="s">
        <v>90</v>
      </c>
      <c r="E3" s="1" t="s">
        <v>91</v>
      </c>
      <c r="F3" s="1" t="s">
        <v>3</v>
      </c>
      <c r="G3" s="1">
        <v>3</v>
      </c>
      <c r="H3" s="1">
        <v>5</v>
      </c>
      <c r="I3" s="1">
        <f t="shared" si="0"/>
        <v>15</v>
      </c>
      <c r="J3" s="1" t="str">
        <f t="shared" si="1"/>
        <v>High</v>
      </c>
      <c r="K3" s="1" t="s">
        <v>84</v>
      </c>
      <c r="L3" s="1" t="s">
        <v>92</v>
      </c>
      <c r="M3" s="1" t="s">
        <v>93</v>
      </c>
      <c r="N3" s="1" t="s">
        <v>22</v>
      </c>
      <c r="O3" s="1">
        <v>2</v>
      </c>
      <c r="P3" s="1">
        <v>4</v>
      </c>
      <c r="Q3" s="1">
        <f t="shared" si="2"/>
        <v>8</v>
      </c>
      <c r="R3" s="1" t="str">
        <f t="shared" si="3"/>
        <v>Medium</v>
      </c>
      <c r="S3" s="5" t="s">
        <v>87</v>
      </c>
    </row>
    <row r="4" spans="1:19" ht="28.8" x14ac:dyDescent="0.3">
      <c r="A4" s="4" t="s">
        <v>95</v>
      </c>
      <c r="B4" s="1" t="s">
        <v>14</v>
      </c>
      <c r="C4" s="1" t="s">
        <v>15</v>
      </c>
      <c r="D4" s="1" t="s">
        <v>96</v>
      </c>
      <c r="E4" s="1" t="s">
        <v>97</v>
      </c>
      <c r="F4" s="1" t="s">
        <v>98</v>
      </c>
      <c r="G4" s="1">
        <v>3</v>
      </c>
      <c r="H4" s="1">
        <v>5</v>
      </c>
      <c r="I4" s="1">
        <f t="shared" si="0"/>
        <v>15</v>
      </c>
      <c r="J4" s="1" t="str">
        <f t="shared" si="1"/>
        <v>High</v>
      </c>
      <c r="K4" s="1" t="s">
        <v>84</v>
      </c>
      <c r="L4" s="1" t="s">
        <v>99</v>
      </c>
      <c r="M4" s="1" t="s">
        <v>98</v>
      </c>
      <c r="N4" s="1" t="s">
        <v>22</v>
      </c>
      <c r="O4" s="1">
        <v>2</v>
      </c>
      <c r="P4" s="1">
        <v>3</v>
      </c>
      <c r="Q4" s="1">
        <f t="shared" si="2"/>
        <v>6</v>
      </c>
      <c r="R4" s="1" t="str">
        <f t="shared" si="3"/>
        <v>Medium</v>
      </c>
      <c r="S4" s="5" t="s">
        <v>87</v>
      </c>
    </row>
    <row r="5" spans="1:19" ht="28.8" x14ac:dyDescent="0.3">
      <c r="A5" s="4" t="s">
        <v>101</v>
      </c>
      <c r="B5" s="1" t="s">
        <v>14</v>
      </c>
      <c r="C5" s="1" t="s">
        <v>15</v>
      </c>
      <c r="D5" s="1" t="s">
        <v>102</v>
      </c>
      <c r="E5" s="1" t="s">
        <v>103</v>
      </c>
      <c r="F5" s="1" t="s">
        <v>3</v>
      </c>
      <c r="G5" s="1">
        <v>3</v>
      </c>
      <c r="H5" s="1">
        <v>4</v>
      </c>
      <c r="I5" s="1">
        <f t="shared" si="0"/>
        <v>12</v>
      </c>
      <c r="J5" s="1" t="str">
        <f t="shared" si="1"/>
        <v>High</v>
      </c>
      <c r="K5" s="1" t="s">
        <v>84</v>
      </c>
      <c r="L5" s="1" t="s">
        <v>104</v>
      </c>
      <c r="M5" s="1" t="s">
        <v>105</v>
      </c>
      <c r="N5" s="1" t="s">
        <v>22</v>
      </c>
      <c r="O5" s="1">
        <v>2</v>
      </c>
      <c r="P5" s="1">
        <v>3</v>
      </c>
      <c r="Q5" s="1">
        <f t="shared" si="2"/>
        <v>6</v>
      </c>
      <c r="R5" s="1" t="str">
        <f t="shared" si="3"/>
        <v>Medium</v>
      </c>
      <c r="S5" s="5" t="s">
        <v>87</v>
      </c>
    </row>
    <row r="6" spans="1:19" ht="28.8" x14ac:dyDescent="0.3">
      <c r="A6" s="4" t="s">
        <v>107</v>
      </c>
      <c r="B6" s="1" t="s">
        <v>30</v>
      </c>
      <c r="C6" s="1" t="s">
        <v>31</v>
      </c>
      <c r="D6" s="1" t="s">
        <v>108</v>
      </c>
      <c r="E6" s="1" t="s">
        <v>109</v>
      </c>
      <c r="F6" s="1" t="s">
        <v>3</v>
      </c>
      <c r="G6" s="1">
        <v>4</v>
      </c>
      <c r="H6" s="1">
        <v>4</v>
      </c>
      <c r="I6" s="1">
        <f t="shared" si="0"/>
        <v>16</v>
      </c>
      <c r="J6" s="1" t="str">
        <f t="shared" si="1"/>
        <v>High</v>
      </c>
      <c r="K6" s="1" t="s">
        <v>84</v>
      </c>
      <c r="L6" s="1" t="s">
        <v>110</v>
      </c>
      <c r="M6" s="1" t="s">
        <v>32</v>
      </c>
      <c r="N6" s="1" t="s">
        <v>22</v>
      </c>
      <c r="O6" s="1">
        <v>2</v>
      </c>
      <c r="P6" s="1">
        <v>3</v>
      </c>
      <c r="Q6" s="1">
        <f t="shared" si="2"/>
        <v>6</v>
      </c>
      <c r="R6" s="1" t="str">
        <f t="shared" si="3"/>
        <v>Medium</v>
      </c>
      <c r="S6" s="5" t="s">
        <v>87</v>
      </c>
    </row>
    <row r="7" spans="1:19" ht="29.4" thickBot="1" x14ac:dyDescent="0.35">
      <c r="A7" s="6" t="s">
        <v>112</v>
      </c>
      <c r="B7" s="7" t="s">
        <v>30</v>
      </c>
      <c r="C7" s="7" t="s">
        <v>31</v>
      </c>
      <c r="D7" s="7" t="s">
        <v>113</v>
      </c>
      <c r="E7" s="7" t="s">
        <v>114</v>
      </c>
      <c r="F7" s="7" t="s">
        <v>115</v>
      </c>
      <c r="G7" s="7">
        <v>3</v>
      </c>
      <c r="H7" s="7">
        <v>5</v>
      </c>
      <c r="I7" s="7">
        <f t="shared" si="0"/>
        <v>15</v>
      </c>
      <c r="J7" s="7" t="str">
        <f t="shared" si="1"/>
        <v>High</v>
      </c>
      <c r="K7" s="7" t="s">
        <v>84</v>
      </c>
      <c r="L7" s="7" t="s">
        <v>116</v>
      </c>
      <c r="M7" s="7" t="s">
        <v>117</v>
      </c>
      <c r="N7" s="7" t="s">
        <v>22</v>
      </c>
      <c r="O7" s="7">
        <v>2</v>
      </c>
      <c r="P7" s="7">
        <v>3</v>
      </c>
      <c r="Q7" s="7">
        <f t="shared" si="2"/>
        <v>6</v>
      </c>
      <c r="R7" s="7" t="str">
        <f t="shared" si="3"/>
        <v>Medium</v>
      </c>
      <c r="S7" s="8" t="s">
        <v>87</v>
      </c>
    </row>
  </sheetData>
  <conditionalFormatting sqref="I2:I99">
    <cfRule type="colorScale" priority="3">
      <colorScale>
        <cfvo type="min"/>
        <cfvo type="percentile" val="50"/>
        <cfvo type="max"/>
        <color rgb="FFFFFFFF"/>
        <color rgb="FFFFF2CC"/>
        <color rgb="FFF4CCCC"/>
      </colorScale>
    </cfRule>
  </conditionalFormatting>
  <conditionalFormatting sqref="Q2:Q99">
    <cfRule type="colorScale" priority="5">
      <colorScale>
        <cfvo type="min"/>
        <cfvo type="percentile" val="50"/>
        <cfvo type="max"/>
        <color rgb="FFFFFFFF"/>
        <color rgb="FFFFF2CC"/>
        <color rgb="FFF4CCCC"/>
      </colorScale>
    </cfRule>
  </conditionalFormatting>
  <dataValidations count="1">
    <dataValidation type="whole" allowBlank="1" sqref="O2:P99 G2:H99" xr:uid="{00000000-0002-0000-0200-000001000000}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"/>
  <sheetViews>
    <sheetView showGridLines="0" workbookViewId="0">
      <selection activeCell="Q9" sqref="Q9"/>
    </sheetView>
  </sheetViews>
  <sheetFormatPr defaultRowHeight="14.4" x14ac:dyDescent="0.3"/>
  <cols>
    <col min="1" max="1" width="12" customWidth="1"/>
    <col min="2" max="2" width="14" customWidth="1"/>
    <col min="3" max="3" width="24" customWidth="1"/>
    <col min="4" max="4" width="20" customWidth="1"/>
    <col min="5" max="5" width="30" customWidth="1"/>
    <col min="6" max="6" width="32" customWidth="1"/>
    <col min="7" max="7" width="42" customWidth="1"/>
    <col min="8" max="8" width="35" customWidth="1"/>
    <col min="9" max="9" width="28" customWidth="1"/>
    <col min="10" max="10" width="16" customWidth="1"/>
    <col min="11" max="11" width="32" customWidth="1"/>
    <col min="12" max="12" width="22" customWidth="1"/>
    <col min="13" max="13" width="24" customWidth="1"/>
    <col min="14" max="14" width="26" customWidth="1"/>
    <col min="15" max="15" width="28" customWidth="1"/>
    <col min="16" max="16" width="24" customWidth="1"/>
    <col min="17" max="17" width="38" customWidth="1"/>
    <col min="18" max="18" width="18" customWidth="1"/>
    <col min="19" max="19" width="34" customWidth="1"/>
    <col min="20" max="20" width="14" customWidth="1"/>
    <col min="21" max="21" width="20" customWidth="1"/>
    <col min="22" max="22" width="32" customWidth="1"/>
  </cols>
  <sheetData>
    <row r="1" spans="1:22" ht="29.4" thickBot="1" x14ac:dyDescent="0.35">
      <c r="A1" s="12" t="s">
        <v>166</v>
      </c>
      <c r="B1" s="13" t="s">
        <v>167</v>
      </c>
      <c r="C1" s="13" t="s">
        <v>168</v>
      </c>
      <c r="D1" s="13" t="s">
        <v>2</v>
      </c>
      <c r="E1" s="13" t="s">
        <v>169</v>
      </c>
      <c r="F1" s="13" t="s">
        <v>170</v>
      </c>
      <c r="G1" s="13" t="s">
        <v>171</v>
      </c>
      <c r="H1" s="13" t="s">
        <v>172</v>
      </c>
      <c r="I1" s="13" t="s">
        <v>6</v>
      </c>
      <c r="J1" s="13" t="s">
        <v>7</v>
      </c>
      <c r="K1" s="13" t="s">
        <v>11</v>
      </c>
      <c r="L1" s="13" t="s">
        <v>12</v>
      </c>
      <c r="M1" s="13" t="s">
        <v>173</v>
      </c>
      <c r="N1" s="13" t="s">
        <v>174</v>
      </c>
      <c r="O1" s="13" t="s">
        <v>175</v>
      </c>
      <c r="P1" s="13" t="s">
        <v>176</v>
      </c>
      <c r="Q1" s="13" t="s">
        <v>177</v>
      </c>
      <c r="R1" s="13" t="s">
        <v>178</v>
      </c>
      <c r="S1" s="13" t="s">
        <v>179</v>
      </c>
      <c r="T1" s="13" t="s">
        <v>180</v>
      </c>
      <c r="U1" s="13" t="s">
        <v>164</v>
      </c>
      <c r="V1" s="14" t="s">
        <v>181</v>
      </c>
    </row>
    <row r="2" spans="1:22" ht="29.4" thickBot="1" x14ac:dyDescent="0.35">
      <c r="A2" s="16" t="s">
        <v>182</v>
      </c>
      <c r="B2" s="17" t="s">
        <v>29</v>
      </c>
      <c r="C2" s="17" t="s">
        <v>17</v>
      </c>
      <c r="D2" s="17" t="s">
        <v>183</v>
      </c>
      <c r="E2" s="17" t="s">
        <v>15</v>
      </c>
      <c r="F2" s="17" t="s">
        <v>184</v>
      </c>
      <c r="G2" s="17" t="s">
        <v>19</v>
      </c>
      <c r="H2" s="17" t="s">
        <v>185</v>
      </c>
      <c r="I2" s="17" t="s">
        <v>20</v>
      </c>
      <c r="J2" s="17" t="s">
        <v>21</v>
      </c>
      <c r="K2" s="17" t="s">
        <v>26</v>
      </c>
      <c r="L2" s="17" t="s">
        <v>54</v>
      </c>
      <c r="M2" s="17" t="s">
        <v>25</v>
      </c>
      <c r="N2" s="17" t="s">
        <v>24</v>
      </c>
      <c r="O2" s="17" t="s">
        <v>186</v>
      </c>
      <c r="P2" s="17" t="s">
        <v>187</v>
      </c>
      <c r="Q2" s="17" t="s">
        <v>188</v>
      </c>
      <c r="R2" s="17" t="s">
        <v>28</v>
      </c>
      <c r="S2" s="17" t="s">
        <v>189</v>
      </c>
      <c r="T2" s="17" t="s">
        <v>29</v>
      </c>
      <c r="U2" s="17" t="s">
        <v>165</v>
      </c>
      <c r="V2" s="18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selection activeCell="E14" sqref="E14"/>
    </sheetView>
  </sheetViews>
  <sheetFormatPr defaultRowHeight="14.4" x14ac:dyDescent="0.3"/>
  <cols>
    <col min="1" max="1" width="12" customWidth="1"/>
    <col min="2" max="3" width="10" customWidth="1"/>
    <col min="4" max="4" width="32" customWidth="1"/>
    <col min="5" max="5" width="12" customWidth="1"/>
    <col min="6" max="6" width="44" customWidth="1"/>
    <col min="7" max="9" width="24" customWidth="1"/>
    <col min="10" max="10" width="16" customWidth="1"/>
  </cols>
  <sheetData>
    <row r="1" spans="1:10" ht="15" thickBot="1" x14ac:dyDescent="0.35">
      <c r="A1" s="12" t="s">
        <v>121</v>
      </c>
      <c r="B1" s="13" t="s">
        <v>63</v>
      </c>
      <c r="C1" s="13" t="s">
        <v>0</v>
      </c>
      <c r="D1" s="13" t="s">
        <v>122</v>
      </c>
      <c r="E1" s="13" t="s">
        <v>123</v>
      </c>
      <c r="F1" s="13" t="s">
        <v>124</v>
      </c>
      <c r="G1" s="13" t="s">
        <v>125</v>
      </c>
      <c r="H1" s="13" t="s">
        <v>74</v>
      </c>
      <c r="I1" s="13" t="s">
        <v>126</v>
      </c>
      <c r="J1" s="14" t="s">
        <v>127</v>
      </c>
    </row>
    <row r="2" spans="1:10" x14ac:dyDescent="0.3">
      <c r="A2" s="9" t="s">
        <v>128</v>
      </c>
      <c r="B2" s="10" t="s">
        <v>81</v>
      </c>
      <c r="C2" s="10" t="s">
        <v>14</v>
      </c>
      <c r="D2" s="10" t="s">
        <v>129</v>
      </c>
      <c r="E2" s="10" t="s">
        <v>130</v>
      </c>
      <c r="F2" s="10" t="s">
        <v>131</v>
      </c>
      <c r="G2" s="10" t="s">
        <v>132</v>
      </c>
      <c r="H2" s="10" t="s">
        <v>49</v>
      </c>
      <c r="I2" s="10" t="s">
        <v>133</v>
      </c>
      <c r="J2" s="11" t="s">
        <v>88</v>
      </c>
    </row>
    <row r="3" spans="1:10" x14ac:dyDescent="0.3">
      <c r="A3" s="4" t="s">
        <v>134</v>
      </c>
      <c r="B3" s="1" t="s">
        <v>89</v>
      </c>
      <c r="C3" s="1" t="s">
        <v>14</v>
      </c>
      <c r="D3" s="1" t="s">
        <v>135</v>
      </c>
      <c r="E3" s="1" t="s">
        <v>136</v>
      </c>
      <c r="F3" s="1" t="s">
        <v>137</v>
      </c>
      <c r="G3" s="1" t="s">
        <v>138</v>
      </c>
      <c r="H3" s="1" t="s">
        <v>93</v>
      </c>
      <c r="I3" s="1" t="s">
        <v>139</v>
      </c>
      <c r="J3" s="5" t="s">
        <v>94</v>
      </c>
    </row>
    <row r="4" spans="1:10" x14ac:dyDescent="0.3">
      <c r="A4" s="4" t="s">
        <v>140</v>
      </c>
      <c r="B4" s="1" t="s">
        <v>95</v>
      </c>
      <c r="C4" s="1" t="s">
        <v>14</v>
      </c>
      <c r="D4" s="1" t="s">
        <v>141</v>
      </c>
      <c r="E4" s="1" t="s">
        <v>142</v>
      </c>
      <c r="F4" s="1" t="s">
        <v>143</v>
      </c>
      <c r="G4" s="1" t="s">
        <v>138</v>
      </c>
      <c r="H4" s="1" t="s">
        <v>98</v>
      </c>
      <c r="I4" s="1" t="s">
        <v>144</v>
      </c>
      <c r="J4" s="5" t="s">
        <v>100</v>
      </c>
    </row>
    <row r="5" spans="1:10" x14ac:dyDescent="0.3">
      <c r="A5" s="4" t="s">
        <v>145</v>
      </c>
      <c r="B5" s="1" t="s">
        <v>101</v>
      </c>
      <c r="C5" s="1" t="s">
        <v>14</v>
      </c>
      <c r="D5" s="1" t="s">
        <v>146</v>
      </c>
      <c r="E5" s="1" t="s">
        <v>147</v>
      </c>
      <c r="F5" s="1" t="s">
        <v>148</v>
      </c>
      <c r="G5" s="1" t="s">
        <v>138</v>
      </c>
      <c r="H5" s="1" t="s">
        <v>105</v>
      </c>
      <c r="I5" s="1" t="s">
        <v>149</v>
      </c>
      <c r="J5" s="5" t="s">
        <v>106</v>
      </c>
    </row>
    <row r="6" spans="1:10" x14ac:dyDescent="0.3">
      <c r="A6" s="4" t="s">
        <v>150</v>
      </c>
      <c r="B6" s="1" t="s">
        <v>107</v>
      </c>
      <c r="C6" s="1" t="s">
        <v>30</v>
      </c>
      <c r="D6" s="1" t="s">
        <v>151</v>
      </c>
      <c r="E6" s="1" t="s">
        <v>152</v>
      </c>
      <c r="F6" s="1" t="s">
        <v>153</v>
      </c>
      <c r="G6" s="1" t="s">
        <v>154</v>
      </c>
      <c r="H6" s="1" t="s">
        <v>32</v>
      </c>
      <c r="I6" s="1" t="s">
        <v>144</v>
      </c>
      <c r="J6" s="5" t="s">
        <v>111</v>
      </c>
    </row>
    <row r="7" spans="1:10" x14ac:dyDescent="0.3">
      <c r="A7" s="4" t="s">
        <v>155</v>
      </c>
      <c r="B7" s="1" t="s">
        <v>112</v>
      </c>
      <c r="C7" s="1" t="s">
        <v>30</v>
      </c>
      <c r="D7" s="1" t="s">
        <v>156</v>
      </c>
      <c r="E7" s="1" t="s">
        <v>157</v>
      </c>
      <c r="F7" s="1" t="s">
        <v>158</v>
      </c>
      <c r="G7" s="1" t="s">
        <v>132</v>
      </c>
      <c r="H7" s="1" t="s">
        <v>117</v>
      </c>
      <c r="I7" s="1" t="s">
        <v>144</v>
      </c>
      <c r="J7" s="5" t="s">
        <v>118</v>
      </c>
    </row>
    <row r="8" spans="1:10" ht="15" thickBot="1" x14ac:dyDescent="0.35">
      <c r="A8" s="6" t="s">
        <v>159</v>
      </c>
      <c r="B8" s="7" t="s">
        <v>119</v>
      </c>
      <c r="C8" s="7" t="s">
        <v>42</v>
      </c>
      <c r="D8" s="7" t="s">
        <v>160</v>
      </c>
      <c r="E8" s="7" t="s">
        <v>161</v>
      </c>
      <c r="F8" s="7" t="s">
        <v>162</v>
      </c>
      <c r="G8" s="7" t="s">
        <v>138</v>
      </c>
      <c r="H8" s="7" t="s">
        <v>43</v>
      </c>
      <c r="I8" s="7" t="s">
        <v>163</v>
      </c>
      <c r="J8" s="8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showGridLines="0" workbookViewId="0">
      <selection activeCell="E12" sqref="E12"/>
    </sheetView>
  </sheetViews>
  <sheetFormatPr defaultRowHeight="14.4" x14ac:dyDescent="0.3"/>
  <cols>
    <col min="1" max="1" width="14" customWidth="1"/>
    <col min="2" max="2" width="10" customWidth="1"/>
    <col min="3" max="3" width="12" customWidth="1"/>
    <col min="4" max="4" width="26" customWidth="1"/>
    <col min="5" max="5" width="48" customWidth="1"/>
    <col min="6" max="6" width="24" customWidth="1"/>
    <col min="7" max="7" width="28" customWidth="1"/>
  </cols>
  <sheetData>
    <row r="1" spans="1:7" ht="15" thickBot="1" x14ac:dyDescent="0.35">
      <c r="A1" s="12" t="s">
        <v>191</v>
      </c>
      <c r="B1" s="13" t="s">
        <v>0</v>
      </c>
      <c r="C1" s="13" t="s">
        <v>123</v>
      </c>
      <c r="D1" s="13" t="s">
        <v>192</v>
      </c>
      <c r="E1" s="13" t="s">
        <v>193</v>
      </c>
      <c r="F1" s="13" t="s">
        <v>194</v>
      </c>
      <c r="G1" s="14" t="s">
        <v>195</v>
      </c>
    </row>
    <row r="2" spans="1:7" ht="28.8" x14ac:dyDescent="0.3">
      <c r="A2" s="9" t="s">
        <v>88</v>
      </c>
      <c r="B2" s="10" t="s">
        <v>14</v>
      </c>
      <c r="C2" s="10" t="s">
        <v>130</v>
      </c>
      <c r="D2" s="10" t="s">
        <v>196</v>
      </c>
      <c r="E2" s="10" t="s">
        <v>197</v>
      </c>
      <c r="F2" s="10" t="s">
        <v>49</v>
      </c>
      <c r="G2" s="11" t="s">
        <v>198</v>
      </c>
    </row>
    <row r="3" spans="1:7" ht="28.8" x14ac:dyDescent="0.3">
      <c r="A3" s="4" t="s">
        <v>94</v>
      </c>
      <c r="B3" s="1" t="s">
        <v>14</v>
      </c>
      <c r="C3" s="1" t="s">
        <v>136</v>
      </c>
      <c r="D3" s="1" t="s">
        <v>199</v>
      </c>
      <c r="E3" s="1" t="s">
        <v>200</v>
      </c>
      <c r="F3" s="1" t="s">
        <v>93</v>
      </c>
      <c r="G3" s="5" t="s">
        <v>198</v>
      </c>
    </row>
    <row r="4" spans="1:7" x14ac:dyDescent="0.3">
      <c r="A4" s="4" t="s">
        <v>100</v>
      </c>
      <c r="B4" s="1" t="s">
        <v>14</v>
      </c>
      <c r="C4" s="1" t="s">
        <v>142</v>
      </c>
      <c r="D4" s="1" t="s">
        <v>201</v>
      </c>
      <c r="E4" s="1" t="s">
        <v>202</v>
      </c>
      <c r="F4" s="1" t="s">
        <v>98</v>
      </c>
      <c r="G4" s="5" t="s">
        <v>198</v>
      </c>
    </row>
    <row r="5" spans="1:7" ht="28.8" x14ac:dyDescent="0.3">
      <c r="A5" s="4" t="s">
        <v>106</v>
      </c>
      <c r="B5" s="1" t="s">
        <v>14</v>
      </c>
      <c r="C5" s="1" t="s">
        <v>147</v>
      </c>
      <c r="D5" s="1" t="s">
        <v>203</v>
      </c>
      <c r="E5" s="1" t="s">
        <v>204</v>
      </c>
      <c r="F5" s="1" t="s">
        <v>105</v>
      </c>
      <c r="G5" s="5" t="s">
        <v>198</v>
      </c>
    </row>
    <row r="6" spans="1:7" x14ac:dyDescent="0.3">
      <c r="A6" s="4" t="s">
        <v>111</v>
      </c>
      <c r="B6" s="1" t="s">
        <v>30</v>
      </c>
      <c r="C6" s="1" t="s">
        <v>152</v>
      </c>
      <c r="D6" s="1" t="s">
        <v>205</v>
      </c>
      <c r="E6" s="1" t="s">
        <v>206</v>
      </c>
      <c r="F6" s="1" t="s">
        <v>207</v>
      </c>
      <c r="G6" s="5" t="s">
        <v>198</v>
      </c>
    </row>
    <row r="7" spans="1:7" x14ac:dyDescent="0.3">
      <c r="A7" s="4" t="s">
        <v>118</v>
      </c>
      <c r="B7" s="1" t="s">
        <v>30</v>
      </c>
      <c r="C7" s="1" t="s">
        <v>157</v>
      </c>
      <c r="D7" s="1" t="s">
        <v>208</v>
      </c>
      <c r="E7" s="1" t="s">
        <v>209</v>
      </c>
      <c r="F7" s="1" t="s">
        <v>117</v>
      </c>
      <c r="G7" s="5" t="s">
        <v>198</v>
      </c>
    </row>
    <row r="8" spans="1:7" ht="15" thickBot="1" x14ac:dyDescent="0.35">
      <c r="A8" s="6" t="s">
        <v>120</v>
      </c>
      <c r="B8" s="7" t="s">
        <v>42</v>
      </c>
      <c r="C8" s="7" t="s">
        <v>161</v>
      </c>
      <c r="D8" s="7" t="s">
        <v>210</v>
      </c>
      <c r="E8" s="7" t="s">
        <v>211</v>
      </c>
      <c r="F8" s="7" t="s">
        <v>43</v>
      </c>
      <c r="G8" s="8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 Inventory</vt:lpstr>
      <vt:lpstr>Risk Register</vt:lpstr>
      <vt:lpstr>AI Intake</vt:lpstr>
      <vt:lpstr>Risk-Control Mapping</vt:lpstr>
      <vt:lpstr>Evidence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EU AI Act &amp; AI Governance Master Inventory</dc:title>
  <dc:subject>AI Inventory, Risk Register, Risk-Control Mapping and Governance Portfolio</dc:subject>
  <dc:creator>OpenAI</dc:creator>
  <cp:lastModifiedBy>Anubha Tayal</cp:lastModifiedBy>
  <dcterms:created xsi:type="dcterms:W3CDTF">2026-09-04T19:49:26Z</dcterms:created>
  <dcterms:modified xsi:type="dcterms:W3CDTF">2026-09-05T04:59:33Z</dcterms:modified>
</cp:coreProperties>
</file>